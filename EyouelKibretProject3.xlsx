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W\Year 1\DSA\Project 3\"/>
    </mc:Choice>
  </mc:AlternateContent>
  <xr:revisionPtr revIDLastSave="0" documentId="13_ncr:1_{2DD5915A-31A7-49A8-A756-5EEB525F18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10" i="1"/>
  <c r="D36" i="1"/>
  <c r="C34" i="1"/>
  <c r="D34" i="1"/>
  <c r="C30" i="1"/>
  <c r="C28" i="1"/>
  <c r="C31" i="1"/>
  <c r="C29" i="1"/>
  <c r="C27" i="1"/>
  <c r="C26" i="1"/>
  <c r="C25" i="1"/>
  <c r="C24" i="1"/>
  <c r="C23" i="1"/>
  <c r="C12" i="1"/>
  <c r="C13" i="1"/>
  <c r="C14" i="1"/>
  <c r="C15" i="1"/>
  <c r="C16" i="1"/>
  <c r="C17" i="1"/>
  <c r="C18" i="1"/>
  <c r="C19" i="1"/>
  <c r="C20" i="1"/>
  <c r="C21" i="1"/>
  <c r="C22" i="1"/>
  <c r="C11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<sst xmlns="http://schemas.openxmlformats.org/spreadsheetml/2006/main" count="8" uniqueCount="8">
  <si>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</si>
  <si>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</si>
  <si>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n</t>
  </si>
  <si>
    <t xml:space="preserve">Theortical </t>
  </si>
  <si>
    <t>Experimental</t>
  </si>
  <si>
    <t>New Theortical</t>
  </si>
  <si>
    <t>Scaling factor</t>
  </si>
  <si>
    <t>O(𝑛^2)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</si>
</sst>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Theoretical Vs Experimental Analysis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Sheet1!$B$10:$B$31</c:f>
              <c:numCache>
                <c:formatCode>General</c:formatCode>
                <c:ptCount val="22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600</c:v>
                </c:pt>
                <c:pt idx="6" formatCode="0.00E+00">
                  <c:v>800</c:v>
                </c:pt>
                <c:pt idx="7" formatCode="0.00E+00">
                  <c:v>1000</c:v>
                </c:pt>
                <c:pt idx="8" formatCode="0.00E+00">
                  <c:v>1500</c:v>
                </c:pt>
                <c:pt idx="9" formatCode="0.00E+00">
                  <c:v>2000</c:v>
                </c:pt>
                <c:pt idx="10" formatCode="0.00E+00">
                  <c:v>3000</c:v>
                </c:pt>
                <c:pt idx="11" formatCode="0.00E+00">
                  <c:v>4000</c:v>
                </c:pt>
                <c:pt idx="12" formatCode="0.00E+00">
                  <c:v>5000</c:v>
                </c:pt>
                <c:pt idx="13" formatCode="0.00E+00">
                  <c:v>6000</c:v>
                </c:pt>
                <c:pt idx="14" formatCode="0.00E+00">
                  <c:v>7000</c:v>
                </c:pt>
                <c:pt idx="15" formatCode="0.00E+00">
                  <c:v>8000</c:v>
                </c:pt>
                <c:pt idx="16" formatCode="0.00E+00">
                  <c:v>9000</c:v>
                </c:pt>
                <c:pt idx="17" formatCode="0.00E+00">
                  <c:v>10000</c:v>
                </c:pt>
                <c:pt idx="18" formatCode="0.00E+00">
                  <c:v>12500</c:v>
                </c:pt>
                <c:pt idx="19" formatCode="0.00E+00">
                  <c:v>15000</c:v>
                </c:pt>
                <c:pt idx="20" formatCode="0.00E+00">
                  <c:v>17500</c:v>
                </c:pt>
                <c:pt idx="21" formatCode="0.00E+00">
                  <c:v>20000</c:v>
                </c:pt>
              </c:numCache>
            </c:numRef>
          </c:cat>
          <c:val>
            <c:numRef>
              <c:f>Sheet1!$D$10:$D$31</c:f>
              <c:numCache>
                <c:formatCode>General</c:formatCode>
                <c:ptCount val="22"/>
                <c:pt idx="0" formatCode="0.00E+00">
                  <c:v>1.29461288452148E-4</c:v>
                </c:pt>
                <c:pt idx="1">
                  <c:v>2.0449161529540998E-3</c:v>
                </c:pt>
                <c:pt idx="2">
                  <c:v>7.7269077301025304E-3</c:v>
                </c:pt>
                <c:pt idx="3">
                  <c:v>3.03418636322021E-2</c:v>
                </c:pt>
                <c:pt idx="4">
                  <c:v>0.12577319145202601</c:v>
                </c:pt>
                <c:pt idx="5">
                  <c:v>0.26972198486328097</c:v>
                </c:pt>
                <c:pt idx="6">
                  <c:v>0.46927213668823198</c:v>
                </c:pt>
                <c:pt idx="7">
                  <c:v>0.764373779296875</c:v>
                </c:pt>
                <c:pt idx="8" formatCode="0.00E+00">
                  <c:v>1.7077338695526101</c:v>
                </c:pt>
                <c:pt idx="9">
                  <c:v>3.0696377754211399</c:v>
                </c:pt>
                <c:pt idx="10">
                  <c:v>6.8521037101745597</c:v>
                </c:pt>
                <c:pt idx="11">
                  <c:v>12.3780331611633</c:v>
                </c:pt>
                <c:pt idx="12">
                  <c:v>20.144074678420999</c:v>
                </c:pt>
                <c:pt idx="13">
                  <c:v>27.503735303878699</c:v>
                </c:pt>
                <c:pt idx="14">
                  <c:v>41.381224632263098</c:v>
                </c:pt>
                <c:pt idx="15">
                  <c:v>54.320381641387897</c:v>
                </c:pt>
                <c:pt idx="16">
                  <c:v>68.886786937713595</c:v>
                </c:pt>
                <c:pt idx="17">
                  <c:v>84.817398548126206</c:v>
                </c:pt>
                <c:pt idx="18">
                  <c:v>118.559165477752</c:v>
                </c:pt>
                <c:pt idx="19">
                  <c:v>193.33805441856299</c:v>
                </c:pt>
                <c:pt idx="20">
                  <c:v>240.82565569877599</c:v>
                </c:pt>
                <c:pt idx="21">
                  <c:v>330.83015322685202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4D-4648-BB8F-E16D6E79FBB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Sheet1!$B$10:$B$31</c:f>
              <c:numCache>
                <c:formatCode>General</c:formatCode>
                <c:ptCount val="22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600</c:v>
                </c:pt>
                <c:pt idx="6" formatCode="0.00E+00">
                  <c:v>800</c:v>
                </c:pt>
                <c:pt idx="7" formatCode="0.00E+00">
                  <c:v>1000</c:v>
                </c:pt>
                <c:pt idx="8" formatCode="0.00E+00">
                  <c:v>1500</c:v>
                </c:pt>
                <c:pt idx="9" formatCode="0.00E+00">
                  <c:v>2000</c:v>
                </c:pt>
                <c:pt idx="10" formatCode="0.00E+00">
                  <c:v>3000</c:v>
                </c:pt>
                <c:pt idx="11" formatCode="0.00E+00">
                  <c:v>4000</c:v>
                </c:pt>
                <c:pt idx="12" formatCode="0.00E+00">
                  <c:v>5000</c:v>
                </c:pt>
                <c:pt idx="13" formatCode="0.00E+00">
                  <c:v>6000</c:v>
                </c:pt>
                <c:pt idx="14" formatCode="0.00E+00">
                  <c:v>7000</c:v>
                </c:pt>
                <c:pt idx="15" formatCode="0.00E+00">
                  <c:v>8000</c:v>
                </c:pt>
                <c:pt idx="16" formatCode="0.00E+00">
                  <c:v>9000</c:v>
                </c:pt>
                <c:pt idx="17" formatCode="0.00E+00">
                  <c:v>10000</c:v>
                </c:pt>
                <c:pt idx="18" formatCode="0.00E+00">
                  <c:v>12500</c:v>
                </c:pt>
                <c:pt idx="19" formatCode="0.00E+00">
                  <c:v>15000</c:v>
                </c:pt>
                <c:pt idx="20" formatCode="0.00E+00">
                  <c:v>17500</c:v>
                </c:pt>
                <c:pt idx="21" formatCode="0.00E+00">
                  <c:v>20000</c:v>
                </c:pt>
              </c:numCache>
            </c:numRef>
          </c:cat>
          <c:val>
            <c:numRef>
              <c:f>Sheet1!$E$10:$E$31</c:f>
              <c:numCache>
                <c:formatCode>0.00E+00</c:formatCode>
                <c:ptCount val="22"/>
                <c:pt idx="0">
                  <c:v>8.1980397064261649E-5</c:v>
                </c:pt>
                <c:pt idx="1">
                  <c:v>2.0495099266065412E-3</c:v>
                </c:pt>
                <c:pt idx="2">
                  <c:v>8.1980397064261648E-3</c:v>
                </c:pt>
                <c:pt idx="3">
                  <c:v>3.2792158825704659E-2</c:v>
                </c:pt>
                <c:pt idx="4">
                  <c:v>0.13116863530281864</c:v>
                </c:pt>
                <c:pt idx="5">
                  <c:v>0.29512942943134196</c:v>
                </c:pt>
                <c:pt idx="6">
                  <c:v>0.52467454121127455</c:v>
                </c:pt>
                <c:pt idx="7">
                  <c:v>0.81980397064261656</c:v>
                </c:pt>
                <c:pt idx="8">
                  <c:v>1.8445589339458872</c:v>
                </c:pt>
                <c:pt idx="9">
                  <c:v>3.2792158825704663</c:v>
                </c:pt>
                <c:pt idx="10">
                  <c:v>7.3782357357835489</c:v>
                </c:pt>
                <c:pt idx="11">
                  <c:v>13.116863530281865</c:v>
                </c:pt>
                <c:pt idx="12">
                  <c:v>20.495099266065413</c:v>
                </c:pt>
                <c:pt idx="13">
                  <c:v>29.512942943134195</c:v>
                </c:pt>
                <c:pt idx="14">
                  <c:v>40.170394561488209</c:v>
                </c:pt>
                <c:pt idx="15">
                  <c:v>52.46745412112746</c:v>
                </c:pt>
                <c:pt idx="16">
                  <c:v>66.404121622051946</c:v>
                </c:pt>
                <c:pt idx="17">
                  <c:v>81.980397064261652</c:v>
                </c:pt>
                <c:pt idx="18">
                  <c:v>128.09437041290883</c:v>
                </c:pt>
                <c:pt idx="19">
                  <c:v>184.45589339458871</c:v>
                </c:pt>
                <c:pt idx="20">
                  <c:v>251.06496600930132</c:v>
                </c:pt>
                <c:pt idx="21">
                  <c:v>327.92158825704661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4D-4648-BB8F-E16D6E79FBB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474048"/>
        <c:axId val="16004649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Sheet1!$B$10:$B$31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400</c:v>
                      </c:pt>
                      <c:pt idx="5">
                        <c:v>600</c:v>
                      </c:pt>
                      <c:pt idx="6" formatCode="0.00E+00">
                        <c:v>800</c:v>
                      </c:pt>
                      <c:pt idx="7" formatCode="0.00E+00">
                        <c:v>1000</c:v>
                      </c:pt>
                      <c:pt idx="8" formatCode="0.00E+00">
                        <c:v>1500</c:v>
                      </c:pt>
                      <c:pt idx="9" formatCode="0.00E+00">
                        <c:v>2000</c:v>
                      </c:pt>
                      <c:pt idx="10" formatCode="0.00E+00">
                        <c:v>3000</c:v>
                      </c:pt>
                      <c:pt idx="11" formatCode="0.00E+00">
                        <c:v>4000</c:v>
                      </c:pt>
                      <c:pt idx="12" formatCode="0.00E+00">
                        <c:v>5000</c:v>
                      </c:pt>
                      <c:pt idx="13" formatCode="0.00E+00">
                        <c:v>6000</c:v>
                      </c:pt>
                      <c:pt idx="14" formatCode="0.00E+00">
                        <c:v>7000</c:v>
                      </c:pt>
                      <c:pt idx="15" formatCode="0.00E+00">
                        <c:v>8000</c:v>
                      </c:pt>
                      <c:pt idx="16" formatCode="0.00E+00">
                        <c:v>9000</c:v>
                      </c:pt>
                      <c:pt idx="17" formatCode="0.00E+00">
                        <c:v>10000</c:v>
                      </c:pt>
                      <c:pt idx="18" formatCode="0.00E+00">
                        <c:v>12500</c:v>
                      </c:pt>
                      <c:pt idx="19" formatCode="0.00E+00">
                        <c:v>15000</c:v>
                      </c:pt>
                      <c:pt idx="20" formatCode="0.00E+00">
                        <c:v>17500</c:v>
                      </c:pt>
                      <c:pt idx="21" formatCode="0.00E+00">
                        <c:v>20000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Sheet1!$B$10:$B$31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400</c:v>
                      </c:pt>
                      <c:pt idx="5">
                        <c:v>600</c:v>
                      </c:pt>
                      <c:pt idx="6" formatCode="0.00E+00">
                        <c:v>800</c:v>
                      </c:pt>
                      <c:pt idx="7" formatCode="0.00E+00">
                        <c:v>1000</c:v>
                      </c:pt>
                      <c:pt idx="8" formatCode="0.00E+00">
                        <c:v>1500</c:v>
                      </c:pt>
                      <c:pt idx="9" formatCode="0.00E+00">
                        <c:v>2000</c:v>
                      </c:pt>
                      <c:pt idx="10" formatCode="0.00E+00">
                        <c:v>3000</c:v>
                      </c:pt>
                      <c:pt idx="11" formatCode="0.00E+00">
                        <c:v>4000</c:v>
                      </c:pt>
                      <c:pt idx="12" formatCode="0.00E+00">
                        <c:v>5000</c:v>
                      </c:pt>
                      <c:pt idx="13" formatCode="0.00E+00">
                        <c:v>6000</c:v>
                      </c:pt>
                      <c:pt idx="14" formatCode="0.00E+00">
                        <c:v>7000</c:v>
                      </c:pt>
                      <c:pt idx="15" formatCode="0.00E+00">
                        <c:v>8000</c:v>
                      </c:pt>
                      <c:pt idx="16" formatCode="0.00E+00">
                        <c:v>9000</c:v>
                      </c:pt>
                      <c:pt idx="17" formatCode="0.00E+00">
                        <c:v>10000</c:v>
                      </c:pt>
                      <c:pt idx="18" formatCode="0.00E+00">
                        <c:v>12500</c:v>
                      </c:pt>
                      <c:pt idx="19" formatCode="0.00E+00">
                        <c:v>15000</c:v>
                      </c:pt>
                      <c:pt idx="20" formatCode="0.00E+00">
                        <c:v>17500</c:v>
                      </c:pt>
                      <c:pt idx="21" formatCode="0.00E+00">
                        <c:v>20000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04D-4648-BB8F-E16D6E79FBB1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Sheet1!$B$10:$B$31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400</c:v>
                      </c:pt>
                      <c:pt idx="5">
                        <c:v>600</c:v>
                      </c:pt>
                      <c:pt idx="6" formatCode="0.00E+00">
                        <c:v>800</c:v>
                      </c:pt>
                      <c:pt idx="7" formatCode="0.00E+00">
                        <c:v>1000</c:v>
                      </c:pt>
                      <c:pt idx="8" formatCode="0.00E+00">
                        <c:v>1500</c:v>
                      </c:pt>
                      <c:pt idx="9" formatCode="0.00E+00">
                        <c:v>2000</c:v>
                      </c:pt>
                      <c:pt idx="10" formatCode="0.00E+00">
                        <c:v>3000</c:v>
                      </c:pt>
                      <c:pt idx="11" formatCode="0.00E+00">
                        <c:v>4000</c:v>
                      </c:pt>
                      <c:pt idx="12" formatCode="0.00E+00">
                        <c:v>5000</c:v>
                      </c:pt>
                      <c:pt idx="13" formatCode="0.00E+00">
                        <c:v>6000</c:v>
                      </c:pt>
                      <c:pt idx="14" formatCode="0.00E+00">
                        <c:v>7000</c:v>
                      </c:pt>
                      <c:pt idx="15" formatCode="0.00E+00">
                        <c:v>8000</c:v>
                      </c:pt>
                      <c:pt idx="16" formatCode="0.00E+00">
                        <c:v>9000</c:v>
                      </c:pt>
                      <c:pt idx="17" formatCode="0.00E+00">
                        <c:v>10000</c:v>
                      </c:pt>
                      <c:pt idx="18" formatCode="0.00E+00">
                        <c:v>12500</c:v>
                      </c:pt>
                      <c:pt idx="19" formatCode="0.00E+00">
                        <c:v>15000</c:v>
                      </c:pt>
                      <c:pt idx="20" formatCode="0.00E+00">
                        <c:v>17500</c:v>
                      </c:pt>
                      <c:pt idx="21" formatCode="0.00E+00">
                        <c:v>20000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Sheet1!$C$10:$C$31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</c:v>
                      </c:pt>
                      <c:pt idx="1">
                        <c:v>2500</c:v>
                      </c:pt>
                      <c:pt idx="2">
                        <c:v>10000</c:v>
                      </c:pt>
                      <c:pt idx="3">
                        <c:v>40000</c:v>
                      </c:pt>
                      <c:pt idx="4">
                        <c:v>160000</c:v>
                      </c:pt>
                      <c:pt idx="5">
                        <c:v>360000</c:v>
                      </c:pt>
                      <c:pt idx="6">
                        <c:v>640000</c:v>
                      </c:pt>
                      <c:pt idx="7">
                        <c:v>1000000</c:v>
                      </c:pt>
                      <c:pt idx="8">
                        <c:v>2250000</c:v>
                      </c:pt>
                      <c:pt idx="9">
                        <c:v>4000000</c:v>
                      </c:pt>
                      <c:pt idx="10">
                        <c:v>9000000</c:v>
                      </c:pt>
                      <c:pt idx="11">
                        <c:v>16000000</c:v>
                      </c:pt>
                      <c:pt idx="12">
                        <c:v>25000000</c:v>
                      </c:pt>
                      <c:pt idx="13">
                        <c:v>36000000</c:v>
                      </c:pt>
                      <c:pt idx="14">
                        <c:v>49000000</c:v>
                      </c:pt>
                      <c:pt idx="15">
                        <c:v>64000000</c:v>
                      </c:pt>
                      <c:pt idx="16">
                        <c:v>81000000</c:v>
                      </c:pt>
                      <c:pt idx="17">
                        <c:v>100000000</c:v>
                      </c:pt>
                      <c:pt idx="18">
                        <c:v>156250000</c:v>
                      </c:pt>
                      <c:pt idx="19">
                        <c:v>225000000</c:v>
                      </c:pt>
                      <c:pt idx="20">
                        <c:v>306250000</c:v>
                      </c:pt>
                      <c:pt idx="21">
                        <c:v>400000000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4D-4648-BB8F-E16D6E79FBB1}"/>
                  </c:ext>
                </c:extLst>
              </c15:ser>
            </c15:filteredLineSeries>
          </c:ext>
        </c:extLst>
      </c:lineChart>
      <c:catAx>
        <c:axId val="160047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64928"/>
        <c:crosses val="autoZero"/>
        <c:auto val="1"/>
        <c:lblAlgn val="ctr"/>
        <c:lblOffset val="100"/>
        <c:noMultiLvlLbl val="0"/>
      </c:catAx>
      <c:valAx>
        <c:axId val="160046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</a:p>
            </c:rich>
          </c:tx>
          <c:layout>
            <c:manualLayout>
              <c:xMode val="edge"/>
              <c:yMode val="edge"/>
              <c:x val="2.2701475595913734E-2"/>
              <c:y val="0.38767924371444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</xdr:colOff>
      <xdr:row>11</xdr:row>
      <xdr:rowOff>41910</xdr:rowOff>
    </xdr:from>
    <xdr:ext cx="731520" cy="17536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A4A399-5EBF-01FF-1C1F-ED4197C9DC25}"/>
            </a:ext>
          </a:extLst>
        </xdr:cNvPr>
        <xdr:cNvSpPr txBox="1"/>
      </xdr:nvSpPr>
      <xdr:spPr>
        <a:xfrm>
          <a:off x="6629400" y="2053590"/>
          <a:ext cx="731520" cy="175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434340</xdr:colOff>
      <xdr:row>7</xdr:row>
      <xdr:rowOff>64770</xdr:rowOff>
    </xdr:from>
    <xdr:to>
      <xdr:col>18</xdr:col>
      <xdr:colOff>441960</xdr:colOff>
      <xdr:row>30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7A5AC1-2E80-6813-DA1A-CC2C0AA90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F36"/>
  <sheetViews>
    <sheetView tabSelected="1" workbookViewId="0">
      <selection activeCell="L32" sqref="L32"/>
    </sheetView>
  </sheetViews>
  <sheetFormatPr defaultRowHeight="14.4" x14ac:dyDescent="0.3"/>
  <cols>
    <col min="3" max="3" width="16.44140625" customWidth="1"/>
    <col min="4" max="4" width="15.44140625" customWidth="1"/>
    <col min="5" max="5" width="14.77734375" customWidth="1"/>
    <col min="6" max="6" width="14" customWidth="1"/>
  </cols>
  <sheetData>
    <row r="6" spans="2:6" x14ac:dyDescent="0.3">
      <c r="C6" t="s">
        <v>0</v>
      </c>
      <c r="D6" t="s">
        <v>1</v>
      </c>
    </row>
    <row r="7" spans="2:6" x14ac:dyDescent="0.3">
      <c r="B7" t="s">
        <v>2</v>
      </c>
      <c r="C7" t="s">
        <v>3</v>
      </c>
      <c r="D7" t="s">
        <v>4</v>
      </c>
      <c r="E7" t="s">
        <v>5</v>
      </c>
      <c r="F7" t="s">
        <v>6</v>
      </c>
    </row>
    <row r="8" spans="2:6" x14ac:dyDescent="0.3">
      <c r="C8" t="s">
        <v>7</v>
      </c>
    </row>
    <row r="10" spans="2:6" x14ac:dyDescent="0.3">
      <c r="B10">
        <v>10</v>
      </c>
      <c r="C10">
        <f>(POWER(B10,2))</f>
        <v>100</v>
      </c>
      <c r="D10" s="1">
        <v>1.29461288452148E-4</v>
      </c>
      <c r="E10" s="1">
        <f>(C10*F10)</f>
        <v>8.1980397064261649E-5</v>
      </c>
      <c r="F10">
        <f>1210/1475962600</f>
        <v>8.1980397064261655E-7</v>
      </c>
    </row>
    <row r="11" spans="2:6" x14ac:dyDescent="0.3">
      <c r="B11">
        <v>50</v>
      </c>
      <c r="C11">
        <f>(POWER(B11,2))</f>
        <v>2500</v>
      </c>
      <c r="D11">
        <v>2.0449161529540998E-3</v>
      </c>
      <c r="E11" s="1">
        <f t="shared" ref="E11:E31" si="0">(C11*F11)</f>
        <v>2.0495099266065412E-3</v>
      </c>
      <c r="F11">
        <f t="shared" ref="F11:F31" si="1">1210/1475962600</f>
        <v>8.1980397064261655E-7</v>
      </c>
    </row>
    <row r="12" spans="2:6" x14ac:dyDescent="0.3">
      <c r="B12">
        <v>100</v>
      </c>
      <c r="C12">
        <f t="shared" ref="C12:C31" si="2">(POWER(B12,2))</f>
        <v>10000</v>
      </c>
      <c r="D12">
        <v>7.7269077301025304E-3</v>
      </c>
      <c r="E12" s="1">
        <f t="shared" si="0"/>
        <v>8.1980397064261648E-3</v>
      </c>
      <c r="F12">
        <f t="shared" si="1"/>
        <v>8.1980397064261655E-7</v>
      </c>
    </row>
    <row r="13" spans="2:6" x14ac:dyDescent="0.3">
      <c r="B13">
        <v>200</v>
      </c>
      <c r="C13">
        <f t="shared" si="2"/>
        <v>40000</v>
      </c>
      <c r="D13">
        <v>3.03418636322021E-2</v>
      </c>
      <c r="E13" s="1">
        <f t="shared" si="0"/>
        <v>3.2792158825704659E-2</v>
      </c>
      <c r="F13">
        <f t="shared" si="1"/>
        <v>8.1980397064261655E-7</v>
      </c>
    </row>
    <row r="14" spans="2:6" x14ac:dyDescent="0.3">
      <c r="B14">
        <v>400</v>
      </c>
      <c r="C14">
        <f t="shared" si="2"/>
        <v>160000</v>
      </c>
      <c r="D14">
        <v>0.12577319145202601</v>
      </c>
      <c r="E14" s="1">
        <f t="shared" si="0"/>
        <v>0.13116863530281864</v>
      </c>
      <c r="F14">
        <f t="shared" si="1"/>
        <v>8.1980397064261655E-7</v>
      </c>
    </row>
    <row r="15" spans="2:6" x14ac:dyDescent="0.3">
      <c r="B15">
        <v>600</v>
      </c>
      <c r="C15">
        <f t="shared" si="2"/>
        <v>360000</v>
      </c>
      <c r="D15">
        <v>0.26972198486328097</v>
      </c>
      <c r="E15" s="1">
        <f t="shared" si="0"/>
        <v>0.29512942943134196</v>
      </c>
      <c r="F15">
        <f t="shared" si="1"/>
        <v>8.1980397064261655E-7</v>
      </c>
    </row>
    <row r="16" spans="2:6" x14ac:dyDescent="0.3">
      <c r="B16" s="1">
        <v>800</v>
      </c>
      <c r="C16">
        <f t="shared" si="2"/>
        <v>640000</v>
      </c>
      <c r="D16">
        <v>0.46927213668823198</v>
      </c>
      <c r="E16" s="1">
        <f t="shared" si="0"/>
        <v>0.52467454121127455</v>
      </c>
      <c r="F16">
        <f t="shared" si="1"/>
        <v>8.1980397064261655E-7</v>
      </c>
    </row>
    <row r="17" spans="2:6" x14ac:dyDescent="0.3">
      <c r="B17" s="1">
        <v>1000</v>
      </c>
      <c r="C17">
        <f t="shared" si="2"/>
        <v>1000000</v>
      </c>
      <c r="D17">
        <v>0.764373779296875</v>
      </c>
      <c r="E17" s="1">
        <f t="shared" si="0"/>
        <v>0.81980397064261656</v>
      </c>
      <c r="F17">
        <f t="shared" si="1"/>
        <v>8.1980397064261655E-7</v>
      </c>
    </row>
    <row r="18" spans="2:6" x14ac:dyDescent="0.3">
      <c r="B18" s="1">
        <v>1500</v>
      </c>
      <c r="C18">
        <f t="shared" si="2"/>
        <v>2250000</v>
      </c>
      <c r="D18" s="1">
        <v>1.7077338695526101</v>
      </c>
      <c r="E18" s="1">
        <f t="shared" si="0"/>
        <v>1.8445589339458872</v>
      </c>
      <c r="F18">
        <f t="shared" si="1"/>
        <v>8.1980397064261655E-7</v>
      </c>
    </row>
    <row r="19" spans="2:6" x14ac:dyDescent="0.3">
      <c r="B19" s="1">
        <v>2000</v>
      </c>
      <c r="C19">
        <f t="shared" si="2"/>
        <v>4000000</v>
      </c>
      <c r="D19">
        <v>3.0696377754211399</v>
      </c>
      <c r="E19" s="1">
        <f t="shared" si="0"/>
        <v>3.2792158825704663</v>
      </c>
      <c r="F19">
        <f t="shared" si="1"/>
        <v>8.1980397064261655E-7</v>
      </c>
    </row>
    <row r="20" spans="2:6" x14ac:dyDescent="0.3">
      <c r="B20" s="1">
        <v>3000</v>
      </c>
      <c r="C20">
        <f t="shared" si="2"/>
        <v>9000000</v>
      </c>
      <c r="D20">
        <v>6.8521037101745597</v>
      </c>
      <c r="E20" s="1">
        <f t="shared" si="0"/>
        <v>7.3782357357835489</v>
      </c>
      <c r="F20">
        <f t="shared" si="1"/>
        <v>8.1980397064261655E-7</v>
      </c>
    </row>
    <row r="21" spans="2:6" x14ac:dyDescent="0.3">
      <c r="B21" s="1">
        <v>4000</v>
      </c>
      <c r="C21">
        <f t="shared" si="2"/>
        <v>16000000</v>
      </c>
      <c r="D21">
        <v>12.3780331611633</v>
      </c>
      <c r="E21" s="1">
        <f t="shared" si="0"/>
        <v>13.116863530281865</v>
      </c>
      <c r="F21">
        <f t="shared" si="1"/>
        <v>8.1980397064261655E-7</v>
      </c>
    </row>
    <row r="22" spans="2:6" x14ac:dyDescent="0.3">
      <c r="B22" s="1">
        <v>5000</v>
      </c>
      <c r="C22">
        <f t="shared" si="2"/>
        <v>25000000</v>
      </c>
      <c r="D22">
        <v>20.144074678420999</v>
      </c>
      <c r="E22" s="1">
        <f t="shared" si="0"/>
        <v>20.495099266065413</v>
      </c>
      <c r="F22">
        <f t="shared" si="1"/>
        <v>8.1980397064261655E-7</v>
      </c>
    </row>
    <row r="23" spans="2:6" x14ac:dyDescent="0.3">
      <c r="B23" s="1">
        <v>6000</v>
      </c>
      <c r="C23">
        <f t="shared" si="2"/>
        <v>36000000</v>
      </c>
      <c r="D23">
        <v>27.503735303878699</v>
      </c>
      <c r="E23" s="1">
        <f t="shared" si="0"/>
        <v>29.512942943134195</v>
      </c>
      <c r="F23">
        <f t="shared" si="1"/>
        <v>8.1980397064261655E-7</v>
      </c>
    </row>
    <row r="24" spans="2:6" x14ac:dyDescent="0.3">
      <c r="B24" s="1">
        <v>7000</v>
      </c>
      <c r="C24">
        <f t="shared" si="2"/>
        <v>49000000</v>
      </c>
      <c r="D24">
        <v>41.381224632263098</v>
      </c>
      <c r="E24" s="1">
        <f t="shared" si="0"/>
        <v>40.170394561488209</v>
      </c>
      <c r="F24">
        <f t="shared" si="1"/>
        <v>8.1980397064261655E-7</v>
      </c>
    </row>
    <row r="25" spans="2:6" x14ac:dyDescent="0.3">
      <c r="B25" s="1">
        <v>8000</v>
      </c>
      <c r="C25">
        <f t="shared" si="2"/>
        <v>64000000</v>
      </c>
      <c r="D25">
        <v>54.320381641387897</v>
      </c>
      <c r="E25" s="1">
        <f t="shared" si="0"/>
        <v>52.46745412112746</v>
      </c>
      <c r="F25">
        <f t="shared" si="1"/>
        <v>8.1980397064261655E-7</v>
      </c>
    </row>
    <row r="26" spans="2:6" x14ac:dyDescent="0.3">
      <c r="B26" s="1">
        <v>9000</v>
      </c>
      <c r="C26">
        <f t="shared" si="2"/>
        <v>81000000</v>
      </c>
      <c r="D26">
        <v>68.886786937713595</v>
      </c>
      <c r="E26" s="1">
        <f t="shared" si="0"/>
        <v>66.404121622051946</v>
      </c>
      <c r="F26">
        <f t="shared" si="1"/>
        <v>8.1980397064261655E-7</v>
      </c>
    </row>
    <row r="27" spans="2:6" x14ac:dyDescent="0.3">
      <c r="B27" s="1">
        <v>10000</v>
      </c>
      <c r="C27">
        <f t="shared" si="2"/>
        <v>100000000</v>
      </c>
      <c r="D27">
        <v>84.817398548126206</v>
      </c>
      <c r="E27" s="1">
        <f t="shared" si="0"/>
        <v>81.980397064261652</v>
      </c>
      <c r="F27">
        <f t="shared" si="1"/>
        <v>8.1980397064261655E-7</v>
      </c>
    </row>
    <row r="28" spans="2:6" x14ac:dyDescent="0.3">
      <c r="B28" s="1">
        <v>12500</v>
      </c>
      <c r="C28">
        <f t="shared" si="2"/>
        <v>156250000</v>
      </c>
      <c r="D28">
        <v>118.559165477752</v>
      </c>
      <c r="E28" s="1">
        <f t="shared" si="0"/>
        <v>128.09437041290883</v>
      </c>
      <c r="F28">
        <f t="shared" si="1"/>
        <v>8.1980397064261655E-7</v>
      </c>
    </row>
    <row r="29" spans="2:6" ht="13.8" customHeight="1" x14ac:dyDescent="0.3">
      <c r="B29" s="1">
        <v>15000</v>
      </c>
      <c r="C29">
        <f t="shared" si="2"/>
        <v>225000000</v>
      </c>
      <c r="D29">
        <v>193.33805441856299</v>
      </c>
      <c r="E29" s="1">
        <f t="shared" si="0"/>
        <v>184.45589339458871</v>
      </c>
      <c r="F29">
        <f t="shared" si="1"/>
        <v>8.1980397064261655E-7</v>
      </c>
    </row>
    <row r="30" spans="2:6" ht="13.8" customHeight="1" x14ac:dyDescent="0.3">
      <c r="B30" s="1">
        <v>17500</v>
      </c>
      <c r="C30">
        <f t="shared" si="2"/>
        <v>306250000</v>
      </c>
      <c r="D30">
        <v>240.82565569877599</v>
      </c>
      <c r="E30" s="1">
        <f t="shared" si="0"/>
        <v>251.06496600930132</v>
      </c>
      <c r="F30">
        <f t="shared" si="1"/>
        <v>8.1980397064261655E-7</v>
      </c>
    </row>
    <row r="31" spans="2:6" x14ac:dyDescent="0.3">
      <c r="B31" s="1">
        <v>20000</v>
      </c>
      <c r="C31">
        <f t="shared" si="2"/>
        <v>400000000</v>
      </c>
      <c r="D31">
        <v>330.83015322685202</v>
      </c>
      <c r="E31" s="1">
        <f t="shared" si="0"/>
        <v>327.92158825704661</v>
      </c>
      <c r="F31">
        <f t="shared" si="1"/>
        <v>8.1980397064261655E-7</v>
      </c>
    </row>
    <row r="32" spans="2:6" x14ac:dyDescent="0.3">
      <c r="C32" s="1"/>
      <c r="F32" s="1"/>
    </row>
    <row r="33" spans="3:4" x14ac:dyDescent="0.3">
      <c r="D33" s="1"/>
    </row>
    <row r="34" spans="3:4" x14ac:dyDescent="0.3">
      <c r="C34">
        <f>SUM(C10:C31)</f>
        <v>1475962600</v>
      </c>
      <c r="D34" s="1">
        <f>(SUM(D10:D31))</f>
        <v>1206.2835233211492</v>
      </c>
    </row>
    <row r="35" spans="3:4" x14ac:dyDescent="0.3">
      <c r="D35" s="1"/>
    </row>
    <row r="36" spans="3:4" x14ac:dyDescent="0.3">
      <c r="D36">
        <f>1210/1475962600</f>
        <v>8.1980397064261655E-7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Jahsil</dc:creator>
  <cp:lastModifiedBy>Kibret, Eyouel H</cp:lastModifiedBy>
  <dcterms:created xsi:type="dcterms:W3CDTF">2015-06-05T18:17:20Z</dcterms:created>
  <dcterms:modified xsi:type="dcterms:W3CDTF">2025-11-20T06:49:51Z</dcterms:modified>
</cp:coreProperties>
</file>